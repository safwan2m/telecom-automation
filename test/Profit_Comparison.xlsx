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-by-Year" sheetId="2" state="visible" r:id="rId2"/>
    <sheet xmlns:r="http://schemas.openxmlformats.org/officeDocument/2006/relationships" name="Monthly Cashflow" sheetId="3" state="visible" r:id="rId3"/>
    <sheet xmlns:r="http://schemas.openxmlformats.org/officeDocument/2006/relationships" name="ROI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444444"/>
      <sz val="11"/>
    </font>
    <font>
      <name val="Calibri"/>
      <color rgb="00444444"/>
      <sz val="11"/>
    </font>
    <font>
      <name val="Calibri"/>
      <b val="1"/>
      <color rgb="001B6F42"/>
      <sz val="11"/>
    </font>
    <font>
      <name val="Calibri"/>
      <b val="1"/>
      <color rgb="001B6F42"/>
      <sz val="12"/>
    </font>
    <font>
      <name val="Calibri"/>
      <i val="1"/>
      <color rgb="00AACCEE"/>
      <sz val="9"/>
    </font>
    <font>
      <name val="Calibri"/>
      <b val="1"/>
      <color rgb="00FFFFFF"/>
      <sz val="16"/>
    </font>
    <font>
      <name val="Calibri"/>
      <color rgb="001B6F42"/>
      <sz val="11"/>
    </font>
    <font>
      <name val="Calibri"/>
      <color rgb="00B51A1A"/>
      <sz val="11"/>
    </font>
    <font>
      <name val="Calibri"/>
      <i val="1"/>
      <color rgb="00444444"/>
      <sz val="10"/>
    </font>
    <font>
      <name val="Calibri"/>
      <b val="1"/>
      <color rgb="00FFFFFF"/>
      <sz val="14"/>
    </font>
  </fonts>
  <fills count="13">
    <fill>
      <patternFill/>
    </fill>
    <fill>
      <patternFill patternType="gray125"/>
    </fill>
    <fill>
      <patternFill patternType="solid">
        <fgColor rgb="000A2955"/>
      </patternFill>
    </fill>
    <fill>
      <patternFill patternType="solid">
        <fgColor rgb="00175CA6"/>
      </patternFill>
    </fill>
    <fill>
      <patternFill patternType="solid">
        <fgColor rgb="00007E8A"/>
      </patternFill>
    </fill>
    <fill>
      <patternFill patternType="solid">
        <fgColor rgb="00444444"/>
      </patternFill>
    </fill>
    <fill>
      <patternFill patternType="solid">
        <fgColor rgb="00FFFFFF"/>
      </patternFill>
    </fill>
    <fill>
      <patternFill patternType="solid">
        <fgColor rgb="00F0F2F5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1B6F42"/>
      </patternFill>
    </fill>
    <fill>
      <patternFill patternType="solid">
        <fgColor rgb="005A238C"/>
      </patternFill>
    </fill>
    <fill>
      <patternFill patternType="solid">
        <fgColor rgb="00C4500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7" borderId="1" pivotButton="0" quotePrefix="0" xfId="0"/>
    <xf numFmtId="0" fontId="5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9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164" fontId="11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164" fontId="12" fillId="7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Net Profit: With vs Without AI Model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'Year-by-Year'!C4</f>
            </strRef>
          </tx>
          <spPr>
            <a:solidFill xmlns:a="http://schemas.openxmlformats.org/drawingml/2006/main">
              <a:srgbClr val="B0BEC5"/>
            </a:solidFill>
            <a:ln xmlns:a="http://schemas.openxmlformats.org/drawingml/2006/main">
              <a:solidFill>
                <a:srgbClr val="78909C"/>
              </a:solidFill>
              <a:prstDash val="solid"/>
            </a:ln>
          </spPr>
          <cat>
            <numRef>
              <f>'Year-by-Year'!$B$5:$B$9</f>
            </numRef>
          </cat>
          <val>
            <numRef>
              <f>'Year-by-Year'!$C$5:$C$9</f>
            </numRef>
          </val>
        </ser>
        <ser>
          <idx val="1"/>
          <order val="1"/>
          <tx>
            <strRef>
              <f>'Year-by-Year'!F4</f>
            </strRef>
          </tx>
          <spPr>
            <a:solidFill xmlns:a="http://schemas.openxmlformats.org/drawingml/2006/main">
              <a:srgbClr val="1B6F42"/>
            </a:solidFill>
            <a:ln xmlns:a="http://schemas.openxmlformats.org/drawingml/2006/main">
              <a:solidFill>
                <a:srgbClr val="0A2955"/>
              </a:solidFill>
              <a:prstDash val="solid"/>
            </a:ln>
          </spPr>
          <cat>
            <numRef>
              <f>'Year-by-Year'!$B$5:$B$9</f>
            </numRef>
          </cat>
          <val>
            <numRef>
              <f>'Year-by-Year'!$F$5:$F$9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0" customWidth="1" min="3" max="3"/>
    <col width="20" customWidth="1" min="4" max="4"/>
    <col width="22" customWidth="1" min="5" max="5"/>
  </cols>
  <sheetData>
    <row r="1" ht="10" customHeight="1"/>
    <row r="2" ht="38" customHeight="1">
      <c r="B2" s="1" t="inlineStr">
        <is>
          <t>Telecom AI Automation — Profit Comparison</t>
        </is>
      </c>
    </row>
    <row r="3" ht="22" customHeight="1">
      <c r="B3" s="2" t="inlineStr">
        <is>
          <t>Malleswaram 4G/5G NSA Network  ·  30 Cells  ·  3 DUs  ·  18,400 Peak UEs</t>
        </is>
      </c>
    </row>
    <row r="5" ht="22" customHeight="1">
      <c r="B5" s="3" t="inlineStr">
        <is>
          <t>① INPUT ASSUMPTIONS</t>
        </is>
      </c>
    </row>
    <row r="6">
      <c r="B6" s="4" t="inlineStr">
        <is>
          <t>Metric</t>
        </is>
      </c>
      <c r="C6" s="4" t="inlineStr">
        <is>
          <t>Without AI Model</t>
        </is>
      </c>
      <c r="D6" s="4" t="inlineStr">
        <is>
          <t>With AI Model</t>
        </is>
      </c>
      <c r="E6" s="4" t="inlineStr">
        <is>
          <t>Difference</t>
        </is>
      </c>
    </row>
    <row r="7">
      <c r="B7" s="5" t="inlineStr">
        <is>
          <t>CAPEX (one-time)</t>
        </is>
      </c>
      <c r="C7" s="6" t="inlineStr">
        <is>
          <t>₹0</t>
        </is>
      </c>
      <c r="D7" s="6" t="inlineStr">
        <is>
          <t>₹30,00,000</t>
        </is>
      </c>
      <c r="E7" s="6" t="inlineStr">
        <is>
          <t>−₹30,00,000</t>
        </is>
      </c>
    </row>
    <row r="8">
      <c r="B8" s="7" t="inlineStr">
        <is>
          <t>Monthly OPEX</t>
        </is>
      </c>
      <c r="C8" s="8" t="inlineStr">
        <is>
          <t>₹1,50,000</t>
        </is>
      </c>
      <c r="D8" s="8" t="inlineStr">
        <is>
          <t>₹50,000</t>
        </is>
      </c>
      <c r="E8" s="8" t="inlineStr">
        <is>
          <t>Save ₹1,00,000/month</t>
        </is>
      </c>
    </row>
    <row r="9">
      <c r="B9" s="5" t="inlineStr">
        <is>
          <t>Users Served</t>
        </is>
      </c>
      <c r="C9" s="6" t="inlineStr">
        <is>
          <t>1,500</t>
        </is>
      </c>
      <c r="D9" s="6" t="inlineStr">
        <is>
          <t>2,000</t>
        </is>
      </c>
      <c r="E9" s="9" t="inlineStr">
        <is>
          <t>+500 users</t>
        </is>
      </c>
    </row>
    <row r="10">
      <c r="B10" s="7" t="inlineStr">
        <is>
          <t>ARPU (per user/month)</t>
        </is>
      </c>
      <c r="C10" s="8" t="inlineStr">
        <is>
          <t>₹180</t>
        </is>
      </c>
      <c r="D10" s="8" t="inlineStr">
        <is>
          <t>₹200</t>
        </is>
      </c>
      <c r="E10" s="10" t="inlineStr">
        <is>
          <t>+₹20/user</t>
        </is>
      </c>
    </row>
    <row r="11">
      <c r="B11" s="5" t="inlineStr">
        <is>
          <t>Monthly Revenue</t>
        </is>
      </c>
      <c r="C11" s="6" t="inlineStr">
        <is>
          <t>₹2,70,000</t>
        </is>
      </c>
      <c r="D11" s="6" t="inlineStr">
        <is>
          <t>₹4,00,000</t>
        </is>
      </c>
      <c r="E11" s="9" t="inlineStr">
        <is>
          <t>+₹1,30,000/month</t>
        </is>
      </c>
    </row>
    <row r="12">
      <c r="B12" s="7" t="inlineStr">
        <is>
          <t>Monthly Profit</t>
        </is>
      </c>
      <c r="C12" s="8" t="inlineStr">
        <is>
          <t>₹1,20,000</t>
        </is>
      </c>
      <c r="D12" s="8" t="inlineStr">
        <is>
          <t>₹3,50,000</t>
        </is>
      </c>
      <c r="E12" s="10" t="inlineStr">
        <is>
          <t>+₹2,30,000/month</t>
        </is>
      </c>
    </row>
    <row r="14" ht="22" customHeight="1">
      <c r="B14" s="3" t="inlineStr">
        <is>
          <t>② ANNUAL PROFIT COMPARISON</t>
        </is>
      </c>
    </row>
    <row r="15">
      <c r="B15" s="4" t="inlineStr">
        <is>
          <t>Metric</t>
        </is>
      </c>
      <c r="C15" s="4" t="inlineStr">
        <is>
          <t>Without AI Model</t>
        </is>
      </c>
      <c r="D15" s="4" t="inlineStr">
        <is>
          <t>With AI Model</t>
        </is>
      </c>
      <c r="E15" s="4" t="inlineStr">
        <is>
          <t>Difference</t>
        </is>
      </c>
    </row>
    <row r="16">
      <c r="B16" s="8" t="inlineStr">
        <is>
          <t>Annual Revenue</t>
        </is>
      </c>
      <c r="C16" s="8" t="inlineStr">
        <is>
          <t>₹32,40,000</t>
        </is>
      </c>
      <c r="D16" s="8" t="inlineStr">
        <is>
          <t>₹48,00,000</t>
        </is>
      </c>
      <c r="E16" s="8" t="inlineStr">
        <is>
          <t>+₹15,60,000</t>
        </is>
      </c>
    </row>
    <row r="17">
      <c r="B17" s="6" t="inlineStr">
        <is>
          <t>Annual OPEX</t>
        </is>
      </c>
      <c r="C17" s="6" t="inlineStr">
        <is>
          <t>₹18,00,000</t>
        </is>
      </c>
      <c r="D17" s="6" t="inlineStr">
        <is>
          <t>₹6,00,000</t>
        </is>
      </c>
      <c r="E17" s="6" t="inlineStr">
        <is>
          <t>Save ₹12,00,000</t>
        </is>
      </c>
    </row>
    <row r="18">
      <c r="B18" s="11" t="inlineStr">
        <is>
          <t>Annual Gross Profit</t>
        </is>
      </c>
      <c r="C18" s="11" t="inlineStr">
        <is>
          <t>₹14,40,000</t>
        </is>
      </c>
      <c r="D18" s="12" t="inlineStr">
        <is>
          <t>₹42,00,000</t>
        </is>
      </c>
      <c r="E18" s="11" t="inlineStr">
        <is>
          <t>+₹27,60,000</t>
        </is>
      </c>
    </row>
    <row r="19" ht="22" customHeight="1">
      <c r="B19" s="3" t="inlineStr">
        <is>
          <t>③ KEY TAKEAWAYS</t>
        </is>
      </c>
    </row>
    <row r="20">
      <c r="B20" s="4" t="inlineStr">
        <is>
          <t>Metric</t>
        </is>
      </c>
      <c r="C20" s="4" t="inlineStr">
        <is>
          <t>Value</t>
        </is>
      </c>
      <c r="D20" s="4" t="inlineStr"/>
      <c r="E20" s="4" t="inlineStr"/>
    </row>
    <row r="21">
      <c r="B21" s="6" t="inlineStr">
        <is>
          <t>CAPEX Payback Period</t>
        </is>
      </c>
      <c r="C21" s="6" t="inlineStr">
        <is>
          <t>~9 months</t>
        </is>
      </c>
      <c r="D21" s="13" t="n"/>
      <c r="E21" s="13" t="n"/>
    </row>
    <row r="22">
      <c r="B22" s="8" t="inlineStr">
        <is>
          <t>Annual Profit Uplift (from Yr 2)</t>
        </is>
      </c>
      <c r="C22" s="8" t="inlineStr">
        <is>
          <t>₹27,60,000  (+191%)</t>
        </is>
      </c>
      <c r="D22" s="14" t="n"/>
      <c r="E22" s="14" t="n"/>
    </row>
    <row r="23">
      <c r="B23" s="6" t="inlineStr">
        <is>
          <t>OPEX Savings per Year</t>
        </is>
      </c>
      <c r="C23" s="6" t="inlineStr">
        <is>
          <t>₹12,00,000</t>
        </is>
      </c>
      <c r="D23" s="13" t="n"/>
      <c r="E23" s="13" t="n"/>
    </row>
    <row r="24">
      <c r="B24" s="8" t="inlineStr">
        <is>
          <t>Revenue Uplift per Year</t>
        </is>
      </c>
      <c r="C24" s="8" t="inlineStr">
        <is>
          <t>₹15,60,000</t>
        </is>
      </c>
      <c r="D24" s="14" t="n"/>
      <c r="E24" s="14" t="n"/>
    </row>
    <row r="25">
      <c r="B25" s="6" t="inlineStr">
        <is>
          <t>5-Year Total Profit (With AI)</t>
        </is>
      </c>
      <c r="C25" s="6" t="inlineStr">
        <is>
          <t>₹1,80,00,000</t>
        </is>
      </c>
      <c r="D25" s="13" t="n"/>
      <c r="E25" s="13" t="n"/>
    </row>
    <row r="26">
      <c r="B26" s="8" t="inlineStr">
        <is>
          <t>5-Year Total Profit (Without AI)</t>
        </is>
      </c>
      <c r="C26" s="8" t="inlineStr">
        <is>
          <t>₹72,00,000</t>
        </is>
      </c>
      <c r="D26" s="14" t="n"/>
      <c r="E26" s="14" t="n"/>
    </row>
    <row r="27">
      <c r="B27" s="15" t="inlineStr">
        <is>
          <t>5-Year Net Gain</t>
        </is>
      </c>
      <c r="C27" s="16" t="inlineStr">
        <is>
          <t>₹1,08,00,000</t>
        </is>
      </c>
      <c r="D27" s="17" t="n"/>
      <c r="E27" s="17" t="n"/>
    </row>
    <row r="29">
      <c r="B29" s="18" t="inlineStr">
        <is>
          <t>AI Model: Gemini 2.5 Flash · KPI Agent (LSTM) · 30 cells · DU-MLS-1/2/3 · Malleswaram, Bangalore</t>
        </is>
      </c>
    </row>
  </sheetData>
  <mergeCells count="6">
    <mergeCell ref="B2:E2"/>
    <mergeCell ref="B3:E3"/>
    <mergeCell ref="B5:E5"/>
    <mergeCell ref="B14:E14"/>
    <mergeCell ref="B19:E19"/>
    <mergeCell ref="B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10" customHeight="1"/>
    <row r="2" ht="35" customHeight="1">
      <c r="B2" s="19" t="inlineStr">
        <is>
          <t>Year-by-Year Net Profit Comparison</t>
        </is>
      </c>
    </row>
    <row r="4" ht="32" customHeight="1">
      <c r="B4" s="20" t="inlineStr">
        <is>
          <t>Year</t>
        </is>
      </c>
      <c r="C4" s="20" t="inlineStr">
        <is>
          <t>Without AI (₹)</t>
        </is>
      </c>
      <c r="D4" s="20" t="inlineStr">
        <is>
          <t>With AI Gross (₹)</t>
        </is>
      </c>
      <c r="E4" s="20" t="inlineStr">
        <is>
          <t>CAPEX Deducted (₹)</t>
        </is>
      </c>
      <c r="F4" s="20" t="inlineStr">
        <is>
          <t>With AI Net (₹)</t>
        </is>
      </c>
      <c r="G4" s="20" t="inlineStr">
        <is>
          <t>Annual Gain (₹)</t>
        </is>
      </c>
    </row>
    <row r="5">
      <c r="B5" s="6" t="inlineStr">
        <is>
          <t>Year 1</t>
        </is>
      </c>
      <c r="C5" s="21" t="n">
        <v>1440000</v>
      </c>
      <c r="D5" s="21" t="n">
        <v>4200000</v>
      </c>
      <c r="E5" s="21" t="n">
        <v>3000000</v>
      </c>
      <c r="F5" s="22" t="n">
        <v>1200000</v>
      </c>
      <c r="G5" s="23" t="n">
        <v>-240000</v>
      </c>
    </row>
    <row r="6">
      <c r="B6" s="8" t="inlineStr">
        <is>
          <t>Year 2</t>
        </is>
      </c>
      <c r="C6" s="24" t="n">
        <v>1440000</v>
      </c>
      <c r="D6" s="24" t="n">
        <v>4200000</v>
      </c>
      <c r="E6" s="8" t="inlineStr">
        <is>
          <t>—</t>
        </is>
      </c>
      <c r="F6" s="25" t="n">
        <v>4200000</v>
      </c>
      <c r="G6" s="24" t="n">
        <v>2760000</v>
      </c>
    </row>
    <row r="7">
      <c r="B7" s="6" t="inlineStr">
        <is>
          <t>Year 3</t>
        </is>
      </c>
      <c r="C7" s="21" t="n">
        <v>1440000</v>
      </c>
      <c r="D7" s="21" t="n">
        <v>4200000</v>
      </c>
      <c r="E7" s="6" t="inlineStr">
        <is>
          <t>—</t>
        </is>
      </c>
      <c r="F7" s="22" t="n">
        <v>4200000</v>
      </c>
      <c r="G7" s="21" t="n">
        <v>2760000</v>
      </c>
    </row>
    <row r="8">
      <c r="B8" s="8" t="inlineStr">
        <is>
          <t>Year 4</t>
        </is>
      </c>
      <c r="C8" s="24" t="n">
        <v>1440000</v>
      </c>
      <c r="D8" s="24" t="n">
        <v>4200000</v>
      </c>
      <c r="E8" s="8" t="inlineStr">
        <is>
          <t>—</t>
        </is>
      </c>
      <c r="F8" s="25" t="n">
        <v>4200000</v>
      </c>
      <c r="G8" s="24" t="n">
        <v>2760000</v>
      </c>
    </row>
    <row r="9">
      <c r="B9" s="6" t="inlineStr">
        <is>
          <t>Year 5</t>
        </is>
      </c>
      <c r="C9" s="21" t="n">
        <v>1440000</v>
      </c>
      <c r="D9" s="21" t="n">
        <v>4200000</v>
      </c>
      <c r="E9" s="6" t="inlineStr">
        <is>
          <t>—</t>
        </is>
      </c>
      <c r="F9" s="22" t="n">
        <v>4200000</v>
      </c>
      <c r="G9" s="21" t="n">
        <v>2760000</v>
      </c>
    </row>
    <row r="10" ht="24" customHeight="1">
      <c r="B10" s="26" t="inlineStr">
        <is>
          <t>5-Year TOTAL</t>
        </is>
      </c>
      <c r="C10" s="27" t="n">
        <v>7200000</v>
      </c>
      <c r="D10" s="27" t="n">
        <v>21000000</v>
      </c>
      <c r="E10" s="27" t="n">
        <v>3000000</v>
      </c>
      <c r="F10" s="27" t="n">
        <v>18000000</v>
      </c>
      <c r="G10" s="27" t="n">
        <v>10800000</v>
      </c>
    </row>
    <row r="12">
      <c r="B12" s="28" t="inlineStr">
        <is>
          <t>Note: Year 1 net gain is negative due to ₹30L CAPEX. From Year 2 onwards AI model delivers ₹27.6L additional profit per year.</t>
        </is>
      </c>
    </row>
  </sheetData>
  <mergeCells count="2">
    <mergeCell ref="B2:F2"/>
    <mergeCell ref="B12:F1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 ht="35" customHeight="1">
      <c r="B2" s="29" t="inlineStr">
        <is>
          <t>Monthly Cashflow — With AI Model (Year 1 CAPEX Amortised over 12 months)</t>
        </is>
      </c>
    </row>
    <row r="4" ht="28" customHeight="1">
      <c r="B4" s="20" t="inlineStr">
        <is>
          <t>Month</t>
        </is>
      </c>
      <c r="C4" s="20" t="inlineStr">
        <is>
          <t>Revenue (₹)</t>
        </is>
      </c>
      <c r="D4" s="20" t="inlineStr">
        <is>
          <t>OPEX (₹)</t>
        </is>
      </c>
      <c r="E4" s="20" t="inlineStr">
        <is>
          <t>CAPEX (₹)</t>
        </is>
      </c>
      <c r="F4" s="20" t="inlineStr">
        <is>
          <t>Net Profit (₹)</t>
        </is>
      </c>
      <c r="G4" s="20" t="inlineStr">
        <is>
          <t>Cumulative (₹)</t>
        </is>
      </c>
    </row>
    <row r="5">
      <c r="B5" s="6" t="inlineStr">
        <is>
          <t>Month 1</t>
        </is>
      </c>
      <c r="C5" s="21" t="n">
        <v>400000</v>
      </c>
      <c r="D5" s="21" t="n">
        <v>50000</v>
      </c>
      <c r="E5" s="21" t="n">
        <v>3000000</v>
      </c>
      <c r="F5" s="23" t="n">
        <v>-2650000</v>
      </c>
      <c r="G5" s="23" t="n">
        <v>-2650000</v>
      </c>
    </row>
    <row r="6">
      <c r="B6" s="8" t="inlineStr">
        <is>
          <t>Month 2</t>
        </is>
      </c>
      <c r="C6" s="24" t="n">
        <v>400000</v>
      </c>
      <c r="D6" s="24" t="n">
        <v>50000</v>
      </c>
      <c r="E6" s="30" t="n">
        <v>0</v>
      </c>
      <c r="F6" s="24" t="n">
        <v>350000</v>
      </c>
      <c r="G6" s="31" t="n">
        <v>-2300000</v>
      </c>
    </row>
    <row r="7">
      <c r="B7" s="6" t="inlineStr">
        <is>
          <t>Month 3</t>
        </is>
      </c>
      <c r="C7" s="21" t="n">
        <v>400000</v>
      </c>
      <c r="D7" s="21" t="n">
        <v>50000</v>
      </c>
      <c r="E7" s="32" t="n">
        <v>0</v>
      </c>
      <c r="F7" s="21" t="n">
        <v>350000</v>
      </c>
      <c r="G7" s="23" t="n">
        <v>-1950000</v>
      </c>
    </row>
    <row r="8">
      <c r="B8" s="8" t="inlineStr">
        <is>
          <t>Month 4</t>
        </is>
      </c>
      <c r="C8" s="24" t="n">
        <v>400000</v>
      </c>
      <c r="D8" s="24" t="n">
        <v>50000</v>
      </c>
      <c r="E8" s="30" t="n">
        <v>0</v>
      </c>
      <c r="F8" s="24" t="n">
        <v>350000</v>
      </c>
      <c r="G8" s="31" t="n">
        <v>-1600000</v>
      </c>
    </row>
    <row r="9">
      <c r="B9" s="6" t="inlineStr">
        <is>
          <t>Month 5</t>
        </is>
      </c>
      <c r="C9" s="21" t="n">
        <v>400000</v>
      </c>
      <c r="D9" s="21" t="n">
        <v>50000</v>
      </c>
      <c r="E9" s="32" t="n">
        <v>0</v>
      </c>
      <c r="F9" s="21" t="n">
        <v>350000</v>
      </c>
      <c r="G9" s="23" t="n">
        <v>-1250000</v>
      </c>
    </row>
    <row r="10">
      <c r="B10" s="8" t="inlineStr">
        <is>
          <t>Month 6</t>
        </is>
      </c>
      <c r="C10" s="24" t="n">
        <v>400000</v>
      </c>
      <c r="D10" s="24" t="n">
        <v>50000</v>
      </c>
      <c r="E10" s="30" t="n">
        <v>0</v>
      </c>
      <c r="F10" s="24" t="n">
        <v>350000</v>
      </c>
      <c r="G10" s="31" t="n">
        <v>-900000</v>
      </c>
    </row>
    <row r="11">
      <c r="B11" s="6" t="inlineStr">
        <is>
          <t>Month 7</t>
        </is>
      </c>
      <c r="C11" s="21" t="n">
        <v>400000</v>
      </c>
      <c r="D11" s="21" t="n">
        <v>50000</v>
      </c>
      <c r="E11" s="32" t="n">
        <v>0</v>
      </c>
      <c r="F11" s="21" t="n">
        <v>350000</v>
      </c>
      <c r="G11" s="23" t="n">
        <v>-550000</v>
      </c>
    </row>
    <row r="12">
      <c r="B12" s="8" t="inlineStr">
        <is>
          <t>Month 8</t>
        </is>
      </c>
      <c r="C12" s="24" t="n">
        <v>400000</v>
      </c>
      <c r="D12" s="24" t="n">
        <v>50000</v>
      </c>
      <c r="E12" s="30" t="n">
        <v>0</v>
      </c>
      <c r="F12" s="24" t="n">
        <v>350000</v>
      </c>
      <c r="G12" s="31" t="n">
        <v>-200000</v>
      </c>
    </row>
    <row r="13">
      <c r="B13" s="33" t="inlineStr">
        <is>
          <t>Month 9</t>
        </is>
      </c>
      <c r="C13" s="34" t="n">
        <v>400000</v>
      </c>
      <c r="D13" s="34" t="n">
        <v>50000</v>
      </c>
      <c r="E13" s="35" t="n">
        <v>0</v>
      </c>
      <c r="F13" s="34" t="n">
        <v>350000</v>
      </c>
      <c r="G13" s="36" t="n">
        <v>150000</v>
      </c>
      <c r="H13" s="37" t="inlineStr">
        <is>
          <t>← PAYBACK ACHIEVED</t>
        </is>
      </c>
    </row>
    <row r="14">
      <c r="B14" s="33" t="inlineStr">
        <is>
          <t>Month 10</t>
        </is>
      </c>
      <c r="C14" s="34" t="n">
        <v>400000</v>
      </c>
      <c r="D14" s="34" t="n">
        <v>50000</v>
      </c>
      <c r="E14" s="35" t="n">
        <v>0</v>
      </c>
      <c r="F14" s="34" t="n">
        <v>350000</v>
      </c>
      <c r="G14" s="36" t="n">
        <v>500000</v>
      </c>
    </row>
    <row r="15">
      <c r="B15" s="33" t="inlineStr">
        <is>
          <t>Month 11</t>
        </is>
      </c>
      <c r="C15" s="34" t="n">
        <v>400000</v>
      </c>
      <c r="D15" s="34" t="n">
        <v>50000</v>
      </c>
      <c r="E15" s="35" t="n">
        <v>0</v>
      </c>
      <c r="F15" s="34" t="n">
        <v>350000</v>
      </c>
      <c r="G15" s="36" t="n">
        <v>850000</v>
      </c>
    </row>
    <row r="16">
      <c r="B16" s="33" t="inlineStr">
        <is>
          <t>Month 12</t>
        </is>
      </c>
      <c r="C16" s="34" t="n">
        <v>400000</v>
      </c>
      <c r="D16" s="34" t="n">
        <v>50000</v>
      </c>
      <c r="E16" s="35" t="n">
        <v>0</v>
      </c>
      <c r="F16" s="34" t="n">
        <v>350000</v>
      </c>
      <c r="G16" s="36" t="n">
        <v>1200000</v>
      </c>
    </row>
    <row r="17" ht="24" customHeight="1">
      <c r="B17" s="26" t="inlineStr">
        <is>
          <t>YEAR 1 TOTAL</t>
        </is>
      </c>
      <c r="C17" s="27" t="n">
        <v>4800000</v>
      </c>
      <c r="D17" s="27" t="n">
        <v>600000</v>
      </c>
      <c r="E17" s="27" t="n">
        <v>3000000</v>
      </c>
      <c r="F17" s="27" t="n">
        <v>1200000</v>
      </c>
      <c r="G17" s="27" t="n">
        <v>1200000</v>
      </c>
    </row>
  </sheetData>
  <mergeCells count="2">
    <mergeCell ref="B2:G2"/>
    <mergeCell ref="H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4" customWidth="1" min="3" max="3"/>
    <col width="3" customWidth="1" min="4" max="4"/>
  </cols>
  <sheetData>
    <row r="2" ht="35" customHeight="1">
      <c r="B2" s="19" t="inlineStr">
        <is>
          <t>ROI &amp; Business Case Metrics</t>
        </is>
      </c>
    </row>
    <row r="4" ht="24" customHeight="1">
      <c r="B4" s="3" t="inlineStr">
        <is>
          <t>FINANCIAL RETURNS</t>
        </is>
      </c>
    </row>
    <row r="5">
      <c r="B5" s="38" t="inlineStr">
        <is>
          <t>CAPEX</t>
        </is>
      </c>
      <c r="C5" s="8" t="inlineStr">
        <is>
          <t>₹30,00,000</t>
        </is>
      </c>
    </row>
    <row r="6">
      <c r="B6" s="39" t="inlineStr">
        <is>
          <t>Annual OPEX (With AI)</t>
        </is>
      </c>
      <c r="C6" s="6" t="inlineStr">
        <is>
          <t>₹6,00,000</t>
        </is>
      </c>
    </row>
    <row r="7">
      <c r="B7" s="38" t="inlineStr">
        <is>
          <t>Annual OPEX (Without AI)</t>
        </is>
      </c>
      <c r="C7" s="8" t="inlineStr">
        <is>
          <t>₹18,00,000</t>
        </is>
      </c>
    </row>
    <row r="8">
      <c r="B8" s="40" t="inlineStr">
        <is>
          <t>Annual OPEX Savings</t>
        </is>
      </c>
      <c r="C8" s="16" t="inlineStr">
        <is>
          <t>₹12,00,000</t>
        </is>
      </c>
    </row>
    <row r="9">
      <c r="B9" s="38" t="inlineStr">
        <is>
          <t>Annual Revenue Uplift</t>
        </is>
      </c>
      <c r="C9" s="8" t="inlineStr">
        <is>
          <t>₹15,60,000</t>
        </is>
      </c>
    </row>
    <row r="10">
      <c r="B10" s="39" t="inlineStr">
        <is>
          <t>Annual Profit (With AI)</t>
        </is>
      </c>
      <c r="C10" s="6" t="inlineStr">
        <is>
          <t>₹42,00,000</t>
        </is>
      </c>
    </row>
    <row r="11">
      <c r="B11" s="38" t="inlineStr">
        <is>
          <t>Annual Profit (Without AI)</t>
        </is>
      </c>
      <c r="C11" s="8" t="inlineStr">
        <is>
          <t>₹14,40,000</t>
        </is>
      </c>
    </row>
    <row r="12">
      <c r="B12" s="40" t="inlineStr">
        <is>
          <t>Annual Profit Uplift</t>
        </is>
      </c>
      <c r="C12" s="16" t="inlineStr">
        <is>
          <t>₹27,60,000  (+191%)</t>
        </is>
      </c>
    </row>
    <row r="14" ht="24" customHeight="1">
      <c r="B14" s="41" t="inlineStr">
        <is>
          <t>PAYBACK &amp; BREAKEVEN</t>
        </is>
      </c>
    </row>
    <row r="15">
      <c r="B15" s="38" t="inlineStr">
        <is>
          <t>CAPEX Payback Period</t>
        </is>
      </c>
      <c r="C15" s="8" t="inlineStr">
        <is>
          <t>~9 months</t>
        </is>
      </c>
    </row>
    <row r="16">
      <c r="B16" s="39" t="inlineStr">
        <is>
          <t>Cumulative Breakeven vs Manual</t>
        </is>
      </c>
      <c r="C16" s="6" t="inlineStr">
        <is>
          <t>Month 14</t>
        </is>
      </c>
    </row>
    <row r="17">
      <c r="B17" s="38" t="inlineStr">
        <is>
          <t>Monthly cash positive from</t>
        </is>
      </c>
      <c r="C17" s="8" t="inlineStr">
        <is>
          <t>Month 2 (after CAPEX month)</t>
        </is>
      </c>
    </row>
    <row r="19" ht="24" customHeight="1">
      <c r="B19" s="42" t="inlineStr">
        <is>
          <t>5-YEAR OUTLOOK</t>
        </is>
      </c>
    </row>
    <row r="20">
      <c r="B20" s="38" t="inlineStr">
        <is>
          <t>5-Year Revenue (With AI)</t>
        </is>
      </c>
      <c r="C20" s="8" t="inlineStr">
        <is>
          <t>₹2,40,00,000</t>
        </is>
      </c>
    </row>
    <row r="21">
      <c r="B21" s="39" t="inlineStr">
        <is>
          <t>5-Year Revenue (Without AI)</t>
        </is>
      </c>
      <c r="C21" s="6" t="inlineStr">
        <is>
          <t>₹1,62,00,000</t>
        </is>
      </c>
    </row>
    <row r="22">
      <c r="B22" s="38" t="inlineStr">
        <is>
          <t>5-Year Profit (With AI)</t>
        </is>
      </c>
      <c r="C22" s="8" t="inlineStr">
        <is>
          <t>₹1,80,00,000</t>
        </is>
      </c>
    </row>
    <row r="23">
      <c r="B23" s="39" t="inlineStr">
        <is>
          <t>5-Year Profit (Without AI)</t>
        </is>
      </c>
      <c r="C23" s="6" t="inlineStr">
        <is>
          <t>₹72,00,000</t>
        </is>
      </c>
    </row>
    <row r="24">
      <c r="B24" s="40" t="inlineStr">
        <is>
          <t>5-Year Net Gain from AI</t>
        </is>
      </c>
      <c r="C24" s="16" t="inlineStr">
        <is>
          <t>₹1,08,00,000</t>
        </is>
      </c>
    </row>
    <row r="25">
      <c r="B25" s="40" t="inlineStr">
        <is>
          <t>5-Year ROI</t>
        </is>
      </c>
      <c r="C25" s="16" t="inlineStr">
        <is>
          <t>360%</t>
        </is>
      </c>
    </row>
    <row r="27" ht="24" customHeight="1">
      <c r="B27" s="43" t="inlineStr">
        <is>
          <t>OPERATIONAL IMPROVEMENTS</t>
        </is>
      </c>
    </row>
    <row r="28">
      <c r="B28" s="38" t="inlineStr">
        <is>
          <t>Additional Users Served</t>
        </is>
      </c>
      <c r="C28" s="8" t="inlineStr">
        <is>
          <t>+500 users (+33%)</t>
        </is>
      </c>
    </row>
    <row r="29">
      <c r="B29" s="39" t="inlineStr">
        <is>
          <t>ARPU Improvement</t>
        </is>
      </c>
      <c r="C29" s="6" t="inlineStr">
        <is>
          <t>+₹20/user/month (+11%)</t>
        </is>
      </c>
    </row>
    <row r="30">
      <c r="B30" s="38" t="inlineStr">
        <is>
          <t>OPEX Reduction</t>
        </is>
      </c>
      <c r="C30" s="8" t="inlineStr">
        <is>
          <t>67% lower (₹1.5L → ₹0.5L/month)</t>
        </is>
      </c>
    </row>
    <row r="31">
      <c r="B31" s="39" t="inlineStr">
        <is>
          <t>Network Incidents (manual)</t>
        </is>
      </c>
      <c r="C31" s="6" t="inlineStr">
        <is>
          <t>~3-5 per month (human latency)</t>
        </is>
      </c>
    </row>
    <row r="32">
      <c r="B32" s="38" t="inlineStr">
        <is>
          <t>Network Incidents (AI)</t>
        </is>
      </c>
      <c r="C32" s="8" t="inlineStr">
        <is>
          <t>&lt;1 per month (auto-resolved in 5s)</t>
        </is>
      </c>
    </row>
    <row r="33">
      <c r="B33" s="39" t="inlineStr">
        <is>
          <t>Avg Resolution Time</t>
        </is>
      </c>
      <c r="C33" s="6" t="inlineStr">
        <is>
          <t>5 seconds (TOPO_POLL_SEC)</t>
        </is>
      </c>
    </row>
    <row r="35">
      <c r="B35" s="18" t="inlineStr">
        <is>
          <t>Model: Gemini 2.5 Flash + KPI LSTM Agent · Auto load-balance via move_cell · topology.json atomic update · 5s propagation</t>
        </is>
      </c>
    </row>
  </sheetData>
  <mergeCells count="6">
    <mergeCell ref="B2:C2"/>
    <mergeCell ref="B4:C4"/>
    <mergeCell ref="B14:C14"/>
    <mergeCell ref="B19:C19"/>
    <mergeCell ref="B27:C27"/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2026-06-13T15:49:05Z</dcterms:created>
  <dcterms:modified xmlns:dcterms="http://purl.org/dc/terms/" xmlns:xsi="http://www.w3.org/2001/XMLSchema-instance" xsi:type="dcterms:W3CDTF">2026-06-13T15:49:05Z</dcterms:modified>
</cp:coreProperties>
</file>